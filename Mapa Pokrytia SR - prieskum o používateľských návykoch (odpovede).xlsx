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>
    <definedName hidden="1" localSheetId="0" name="_xlnm._FilterDatabase">'Odpovede z formulára 1'!$A$1:$V$25</definedName>
  </definedNames>
  <calcPr/>
</workbook>
</file>

<file path=xl/sharedStrings.xml><?xml version="1.0" encoding="utf-8"?>
<sst xmlns="http://schemas.openxmlformats.org/spreadsheetml/2006/main" count="442" uniqueCount="143">
  <si>
    <t>Časová pečiatka</t>
  </si>
  <si>
    <t>Aké je vaše pohlavie?</t>
  </si>
  <si>
    <t>Koľko máte rokov?</t>
  </si>
  <si>
    <t>Aké je vaše najvyššie dosiahnuté vzdelanie?</t>
  </si>
  <si>
    <t>V akom samosprávnom kraji máte trvalý pobyt?</t>
  </si>
  <si>
    <t>Aký je typ vášho zamestnania?</t>
  </si>
  <si>
    <t xml:space="preserve">Ako by ste zhodnotili svoje technické zručnosti?
</t>
  </si>
  <si>
    <t>Ktorý operátor vám poskytuje mobilné pripojenie?</t>
  </si>
  <si>
    <t xml:space="preserve">Ako by ste sa charakterizovali z hľadiska využívania mobilných dát?  </t>
  </si>
  <si>
    <t>Využívate 5G sieť?</t>
  </si>
  <si>
    <t>Ako často si prezeráte mapy pokrytia operátorov?</t>
  </si>
  <si>
    <t>Čo je zvyčajne hlavným dôvodom vášho prezerania mapy pokrytia?</t>
  </si>
  <si>
    <t xml:space="preserve">Ako často sa vám stáva, že ste bez signálu / máte slabý, pomalý signál napriek tomu, že operátor v danej lokalite deklaruje pokrytie / lepšiu kvalitu signálu?  </t>
  </si>
  <si>
    <t xml:space="preserve">Kde pociťujete najväčšie rozdiely medzi reklamovaným a reálnym signálom?  </t>
  </si>
  <si>
    <t xml:space="preserve">Považujete informácie o pokrytí na stránkach operátorov za zrozumiteľné?  </t>
  </si>
  <si>
    <t xml:space="preserve">Aké dôležité je pre vás poznať kvalitu signálu pri výbere bývania?  </t>
  </si>
  <si>
    <t xml:space="preserve">Aké dôležité je pre vás poznať kvalitu signálu na trase pred vycestovaním?  </t>
  </si>
  <si>
    <t xml:space="preserve">Preferovali by ste viac grafy a štatistiky alebo vizualizačnú mapu pri prezeraní pokrytia? </t>
  </si>
  <si>
    <t xml:space="preserve">Preferovali by ste dáta z meraní regulačného úradu SR alebo z meraní iných používateľov pri prezeraní pokrytia?
(od úradu - menšie množstvo dát, namerané oficiálnou metodikou a špeciálnou technikou, od používateľov - väčšie množstvo dát v rôznych lokáciach, aj oficiálna aj neoficiálna metodika merania)    </t>
  </si>
  <si>
    <t>Ktorá štatistika je pre vás najdôležitejšia pri hodnotení kvality pripojenia?</t>
  </si>
  <si>
    <t>Ktoré časové obdobie by ste preferovali pri prezeraní štatistík / mapy pokrytia?</t>
  </si>
  <si>
    <t>Ako veľmi by podľa vás bola užitočná funkcionalita kresliacich/meracích nástrojov na vizualizačnej mape?</t>
  </si>
  <si>
    <t>Muž</t>
  </si>
  <si>
    <t>18 - 24</t>
  </si>
  <si>
    <t>Stredná škola s maturitou</t>
  </si>
  <si>
    <t>Bratislavský</t>
  </si>
  <si>
    <t>Študent</t>
  </si>
  <si>
    <t>Mierne pokročilý</t>
  </si>
  <si>
    <t>Orange</t>
  </si>
  <si>
    <t>Bežný používateľ</t>
  </si>
  <si>
    <t>Áno</t>
  </si>
  <si>
    <t>Príležitostne (párkrát za rok)</t>
  </si>
  <si>
    <t>Riešenie problémov s aktuálnym pripojením</t>
  </si>
  <si>
    <t>Občas</t>
  </si>
  <si>
    <t>Vlaky alebo diaľnice, Vidiecke oblasti</t>
  </si>
  <si>
    <t>Áno, sú pomerne jasné</t>
  </si>
  <si>
    <t>Rýchlosť sťahovania (prípadne aj nahrávania)</t>
  </si>
  <si>
    <t>posledný týždeň</t>
  </si>
  <si>
    <t>Žena</t>
  </si>
  <si>
    <t>Trenčiansky</t>
  </si>
  <si>
    <t>Pokročilý</t>
  </si>
  <si>
    <t>Telekom</t>
  </si>
  <si>
    <t>Biznis (práca na cestách)</t>
  </si>
  <si>
    <t>Pred vycestovaním, Riešenie problémov s aktuálnym pripojením</t>
  </si>
  <si>
    <t>Interiér budov, Vidiecke oblasti</t>
  </si>
  <si>
    <t>Všetko spomenuté hore</t>
  </si>
  <si>
    <t>Začiatočník</t>
  </si>
  <si>
    <t>Tiktok v autobuse a elektricke</t>
  </si>
  <si>
    <t>Nikdy</t>
  </si>
  <si>
    <t>Neprezerávam mapy pokrytia</t>
  </si>
  <si>
    <t>Výnimočne</t>
  </si>
  <si>
    <t>Pri ceste vo vlaku</t>
  </si>
  <si>
    <t>Neviem / nevyhľadávam informácie o pokrytí</t>
  </si>
  <si>
    <t>posledné dva roky</t>
  </si>
  <si>
    <t>25 - 34</t>
  </si>
  <si>
    <t>Vysokoškolské vzdelanie III. stupeň</t>
  </si>
  <si>
    <t>Trvalý pracovný pomer</t>
  </si>
  <si>
    <t>Expert</t>
  </si>
  <si>
    <t>O2</t>
  </si>
  <si>
    <t>posledný rok</t>
  </si>
  <si>
    <t>Banskobystrický</t>
  </si>
  <si>
    <t>Výnimočne (raz za niekoľko rokov)</t>
  </si>
  <si>
    <t>Vidiecke oblasti</t>
  </si>
  <si>
    <t>posledný mesiac</t>
  </si>
  <si>
    <t>45 - 64</t>
  </si>
  <si>
    <t>Vysokoškolské vzdelanie II. stupeň</t>
  </si>
  <si>
    <t>Tescomobile</t>
  </si>
  <si>
    <t>Zmena operátora, Pred vycestovaním, Riešenie problémov s aktuálnym pripojením</t>
  </si>
  <si>
    <t>Sila signálu (RSRP)</t>
  </si>
  <si>
    <t>35 - 44</t>
  </si>
  <si>
    <t>Wingo</t>
  </si>
  <si>
    <t>Vlaky alebo diaľnice</t>
  </si>
  <si>
    <t>Nie, sú trochu nejasné</t>
  </si>
  <si>
    <t>Nie</t>
  </si>
  <si>
    <t>4ka</t>
  </si>
  <si>
    <t>Zmena operátora</t>
  </si>
  <si>
    <t>Interiér budov</t>
  </si>
  <si>
    <t>Náročný používateľ (hry, 4K streaming)</t>
  </si>
  <si>
    <t>Sťahovanie, Pred vycestovaním</t>
  </si>
  <si>
    <t>Interiér budov, Vlaky alebo diaľnice</t>
  </si>
  <si>
    <t>Áno, sú veľmi jasné</t>
  </si>
  <si>
    <t>Trnavský</t>
  </si>
  <si>
    <t>Pred vycestovaním, Pobyt v prírode</t>
  </si>
  <si>
    <t>Odozva (latencia/ping)</t>
  </si>
  <si>
    <t>posledný štvrťrok</t>
  </si>
  <si>
    <t>Nitriansky</t>
  </si>
  <si>
    <t>Prešovský</t>
  </si>
  <si>
    <t>Podnikateľ/živnostník</t>
  </si>
  <si>
    <t>Vysokoškolské vzdelanie I. stupeň</t>
  </si>
  <si>
    <t>Nezamestnaný/á</t>
  </si>
  <si>
    <t>Spussu</t>
  </si>
  <si>
    <t>Pred vycestovaním</t>
  </si>
  <si>
    <t>Neviem</t>
  </si>
  <si>
    <t>Často (párkrát za mesiac)</t>
  </si>
  <si>
    <t>Zmena operátora, Pred vycestovaním</t>
  </si>
  <si>
    <t>Často</t>
  </si>
  <si>
    <t>Nie, sú veľmi chaotické</t>
  </si>
  <si>
    <t>Menej ako 18</t>
  </si>
  <si>
    <t>Základná škola</t>
  </si>
  <si>
    <t>Nevšímam si to</t>
  </si>
  <si>
    <t>Zmena operátora, Riešenie problémov s aktuálnym pripojením</t>
  </si>
  <si>
    <t>mladi</t>
  </si>
  <si>
    <t>2.07</t>
  </si>
  <si>
    <t>4.21</t>
  </si>
  <si>
    <t>2.928</t>
  </si>
  <si>
    <t>3.785</t>
  </si>
  <si>
    <t>stari</t>
  </si>
  <si>
    <t>1.22</t>
  </si>
  <si>
    <t>3.888</t>
  </si>
  <si>
    <t>4.55</t>
  </si>
  <si>
    <t>3.33</t>
  </si>
  <si>
    <t>3.111</t>
  </si>
  <si>
    <t>bratislavsky</t>
  </si>
  <si>
    <t>1.33</t>
  </si>
  <si>
    <t>2.73</t>
  </si>
  <si>
    <t>rychlost stah</t>
  </si>
  <si>
    <t>rok/mesiac</t>
  </si>
  <si>
    <t>3.266</t>
  </si>
  <si>
    <t>ostatne</t>
  </si>
  <si>
    <t>4.25</t>
  </si>
  <si>
    <t>3.375</t>
  </si>
  <si>
    <t>4.375</t>
  </si>
  <si>
    <t>3.625</t>
  </si>
  <si>
    <t>rych stah</t>
  </si>
  <si>
    <t>stvrtrok</t>
  </si>
  <si>
    <t>studenti</t>
  </si>
  <si>
    <t>2.15</t>
  </si>
  <si>
    <t>4.15</t>
  </si>
  <si>
    <t>2.92</t>
  </si>
  <si>
    <t>4.46</t>
  </si>
  <si>
    <t>3.85</t>
  </si>
  <si>
    <t>3.53</t>
  </si>
  <si>
    <t>pracujuci</t>
  </si>
  <si>
    <t>3.88</t>
  </si>
  <si>
    <t>2.777</t>
  </si>
  <si>
    <t>2.88</t>
  </si>
  <si>
    <t>menej tech zdatni</t>
  </si>
  <si>
    <t>3.875</t>
  </si>
  <si>
    <t>4.75</t>
  </si>
  <si>
    <t>mesiac</t>
  </si>
  <si>
    <t>viac tech zdatni</t>
  </si>
  <si>
    <t>2.933</t>
  </si>
  <si>
    <t>stvrtrok ale vyrovnane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</si>
</sst>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165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5" xfId="0" applyAlignment="1" applyBorder="1" applyFont="1" applyNumberFormat="1">
      <alignment horizontal="center" readingOrder="0"/>
    </xf>
    <xf borderId="7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8" fillId="0" fontId="1" numFmtId="165" xfId="0" applyAlignment="1" applyBorder="1" applyFont="1" applyNumberFormat="1">
      <alignment horizontal="center" readingOrder="0"/>
    </xf>
    <xf borderId="12" fillId="0" fontId="1" numFmtId="165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1" fillId="0" fontId="1" numFmtId="165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10" fillId="0" fontId="1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Odpovede z formulár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V25" displayName="Form_Responses" name="Form_Responses" id="1">
  <autoFilter ref="$A$1:$V$25"/>
  <tableColumns count="22">
    <tableColumn name="Časová pečiatka" id="1"/>
    <tableColumn name="Aké je vaše pohlavie?" id="2"/>
    <tableColumn name="Koľko máte rokov?" id="3"/>
    <tableColumn name="Aké je vaše najvyššie dosiahnuté vzdelanie?" id="4"/>
    <tableColumn name="V akom samosprávnom kraji máte trvalý pobyt?" id="5"/>
    <tableColumn name="Aký je typ vášho zamestnania?" id="6"/>
    <tableColumn name="Ako by ste zhodnotili svoje technické zručnosti?_x000a_" id="7"/>
    <tableColumn name="Ktorý operátor vám poskytuje mobilné pripojenie?" id="8"/>
    <tableColumn name="Ako by ste sa charakterizovali z hľadiska využívania mobilných dát?  " id="9"/>
    <tableColumn name="Využívate 5G sieť?" id="10"/>
    <tableColumn name="Ako často si prezeráte mapy pokrytia operátorov?" id="11"/>
    <tableColumn name="Čo je zvyčajne hlavným dôvodom vášho prezerania mapy pokrytia?" id="12"/>
    <tableColumn name="Ako často sa vám stáva, že ste bez signálu / máte slabý, pomalý signál napriek tomu, že operátor v danej lokalite deklaruje pokrytie / lepšiu kvalitu signálu?  " id="13"/>
    <tableColumn name="Kde pociťujete najväčšie rozdiely medzi reklamovaným a reálnym signálom?  " id="14"/>
    <tableColumn name="Považujete informácie o pokrytí na stránkach operátorov za zrozumiteľné?  " id="15"/>
    <tableColumn totalsRowFunction="custom" name="Aké dôležité je pre vás poznať kvalitu signálu pri výbere bývania?  " id="16"/>
    <tableColumn totalsRowFunction="custom" name="Aké dôležité je pre vás poznať kvalitu signálu na trase pred vycestovaním?  " id="17"/>
    <tableColumn totalsRowFunction="custom" name="Preferovali by ste viac grafy a štatistiky alebo vizualizačnú mapu pri prezeraní pokrytia? " id="18"/>
    <tableColumn totalsRowFunction="custom" name="Preferovali by ste dáta z meraní regulačného úradu SR alebo z meraní iných používateľov pri prezeraní pokrytia?_x000a__x000a_(od úradu - menšie množstvo dát, namerané oficiálnou metodikou a špeciálnou technikou, od používateľov - väčšie množstvo dát v rôznych lokáciach, aj oficiálna aj neoficiálna metodika merania)    " id="19"/>
    <tableColumn name="Ktorá štatistika je pre vás najdôležitejšia pri hodnotení kvality pripojenia?" id="20"/>
    <tableColumn name="Ktoré časové obdobie by ste preferovali pri prezeraní štatistík / mapy pokrytia?" id="21"/>
    <tableColumn totalsRowFunction="custom" name="Ako veľmi by podľa vás bola užitočná funkcionalita kresliacich/meracích nástrojov na vizualizačnej mape?" id="22"/>
  </tableColumns>
  <tableStyleInfo name="Odpovede z formulár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75"/>
    <col customWidth="1" min="3" max="3" width="18.88"/>
    <col customWidth="1" min="4" max="4" width="37.0"/>
    <col customWidth="1" min="5" max="5" width="37.63"/>
    <col customWidth="1" min="6" max="6" width="27.5"/>
    <col customWidth="1" min="7" max="9" width="37.63"/>
    <col customWidth="1" min="10" max="10" width="18.88"/>
    <col customWidth="1" min="11" max="16" width="37.63"/>
    <col customWidth="1" min="17" max="17" width="42.63"/>
    <col customWidth="1" min="18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46071.84769222222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>
        <v>4.0</v>
      </c>
      <c r="Q2" s="3">
        <v>2.0</v>
      </c>
      <c r="R2" s="3">
        <v>5.0</v>
      </c>
      <c r="S2" s="3">
        <v>4.0</v>
      </c>
      <c r="T2" s="3" t="s">
        <v>36</v>
      </c>
      <c r="U2" s="3" t="s">
        <v>37</v>
      </c>
      <c r="V2" s="3">
        <v>3.0</v>
      </c>
    </row>
    <row r="3" ht="22.5" customHeight="1">
      <c r="A3" s="2">
        <v>46071.847984629625</v>
      </c>
      <c r="B3" s="3" t="s">
        <v>38</v>
      </c>
      <c r="C3" s="3" t="s">
        <v>23</v>
      </c>
      <c r="D3" s="3" t="s">
        <v>24</v>
      </c>
      <c r="E3" s="3" t="s">
        <v>39</v>
      </c>
      <c r="F3" s="3" t="s">
        <v>26</v>
      </c>
      <c r="G3" s="3" t="s">
        <v>40</v>
      </c>
      <c r="H3" s="3" t="s">
        <v>41</v>
      </c>
      <c r="I3" s="3" t="s">
        <v>42</v>
      </c>
      <c r="J3" s="3" t="s">
        <v>30</v>
      </c>
      <c r="K3" s="3" t="s">
        <v>31</v>
      </c>
      <c r="L3" s="3" t="s">
        <v>43</v>
      </c>
      <c r="M3" s="3" t="s">
        <v>33</v>
      </c>
      <c r="N3" s="3" t="s">
        <v>44</v>
      </c>
      <c r="O3" s="3" t="s">
        <v>35</v>
      </c>
      <c r="P3" s="3">
        <v>5.0</v>
      </c>
      <c r="Q3" s="3">
        <v>4.0</v>
      </c>
      <c r="R3" s="3">
        <v>5.0</v>
      </c>
      <c r="S3" s="3">
        <v>5.0</v>
      </c>
      <c r="T3" s="3" t="s">
        <v>45</v>
      </c>
      <c r="U3" s="3" t="s">
        <v>37</v>
      </c>
      <c r="V3" s="3">
        <v>5.0</v>
      </c>
    </row>
    <row r="4" ht="22.5" customHeight="1">
      <c r="A4" s="2">
        <v>46071.85858508102</v>
      </c>
      <c r="B4" s="3" t="s">
        <v>38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46</v>
      </c>
      <c r="H4" s="3" t="s">
        <v>28</v>
      </c>
      <c r="I4" s="3" t="s">
        <v>47</v>
      </c>
      <c r="J4" s="3" t="s">
        <v>30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>
        <v>5.0</v>
      </c>
      <c r="Q4" s="3">
        <v>5.0</v>
      </c>
      <c r="R4" s="3">
        <v>5.0</v>
      </c>
      <c r="S4" s="3">
        <v>3.0</v>
      </c>
      <c r="T4" s="3" t="s">
        <v>36</v>
      </c>
      <c r="U4" s="3" t="s">
        <v>53</v>
      </c>
      <c r="V4" s="3">
        <v>5.0</v>
      </c>
    </row>
    <row r="5" ht="22.5" customHeight="1">
      <c r="A5" s="2">
        <v>46071.861207002315</v>
      </c>
      <c r="B5" s="3" t="s">
        <v>22</v>
      </c>
      <c r="C5" s="3" t="s">
        <v>54</v>
      </c>
      <c r="D5" s="3" t="s">
        <v>55</v>
      </c>
      <c r="E5" s="3" t="s">
        <v>25</v>
      </c>
      <c r="F5" s="3" t="s">
        <v>56</v>
      </c>
      <c r="G5" s="3" t="s">
        <v>57</v>
      </c>
      <c r="H5" s="3" t="s">
        <v>58</v>
      </c>
      <c r="I5" s="3" t="s">
        <v>42</v>
      </c>
      <c r="J5" s="3" t="s">
        <v>30</v>
      </c>
      <c r="K5" s="3" t="s">
        <v>48</v>
      </c>
      <c r="L5" s="3" t="s">
        <v>49</v>
      </c>
      <c r="M5" s="3" t="s">
        <v>33</v>
      </c>
      <c r="N5" s="3" t="s">
        <v>34</v>
      </c>
      <c r="O5" s="3" t="s">
        <v>52</v>
      </c>
      <c r="P5" s="3">
        <v>5.0</v>
      </c>
      <c r="Q5" s="3">
        <v>3.0</v>
      </c>
      <c r="R5" s="3">
        <v>5.0</v>
      </c>
      <c r="S5" s="3">
        <v>3.0</v>
      </c>
      <c r="T5" s="3" t="s">
        <v>36</v>
      </c>
      <c r="U5" s="3" t="s">
        <v>59</v>
      </c>
      <c r="V5" s="3">
        <v>3.0</v>
      </c>
    </row>
    <row r="6" ht="22.5" customHeight="1">
      <c r="A6" s="2">
        <v>46071.86990181713</v>
      </c>
      <c r="B6" s="3" t="s">
        <v>22</v>
      </c>
      <c r="C6" s="3" t="s">
        <v>23</v>
      </c>
      <c r="D6" s="3" t="s">
        <v>24</v>
      </c>
      <c r="E6" s="3" t="s">
        <v>60</v>
      </c>
      <c r="F6" s="3" t="s">
        <v>26</v>
      </c>
      <c r="G6" s="3" t="s">
        <v>40</v>
      </c>
      <c r="H6" s="3" t="s">
        <v>41</v>
      </c>
      <c r="I6" s="3" t="s">
        <v>29</v>
      </c>
      <c r="J6" s="3" t="s">
        <v>30</v>
      </c>
      <c r="K6" s="3" t="s">
        <v>61</v>
      </c>
      <c r="L6" s="3" t="s">
        <v>32</v>
      </c>
      <c r="M6" s="3" t="s">
        <v>50</v>
      </c>
      <c r="N6" s="3" t="s">
        <v>62</v>
      </c>
      <c r="O6" s="3" t="s">
        <v>35</v>
      </c>
      <c r="P6" s="3">
        <v>5.0</v>
      </c>
      <c r="Q6" s="3">
        <v>3.0</v>
      </c>
      <c r="R6" s="3">
        <v>4.0</v>
      </c>
      <c r="S6" s="3">
        <v>1.0</v>
      </c>
      <c r="T6" s="3" t="s">
        <v>36</v>
      </c>
      <c r="U6" s="3" t="s">
        <v>63</v>
      </c>
      <c r="V6" s="3">
        <v>4.0</v>
      </c>
    </row>
    <row r="7" ht="22.5" customHeight="1">
      <c r="A7" s="2">
        <v>46071.87951421297</v>
      </c>
      <c r="B7" s="3" t="s">
        <v>38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41</v>
      </c>
      <c r="I7" s="3" t="s">
        <v>29</v>
      </c>
      <c r="J7" s="3" t="s">
        <v>30</v>
      </c>
      <c r="K7" s="3" t="s">
        <v>48</v>
      </c>
      <c r="L7" s="3" t="s">
        <v>49</v>
      </c>
      <c r="M7" s="3" t="s">
        <v>50</v>
      </c>
      <c r="N7" s="3" t="s">
        <v>34</v>
      </c>
      <c r="O7" s="3" t="s">
        <v>35</v>
      </c>
      <c r="P7" s="3">
        <v>3.0</v>
      </c>
      <c r="Q7" s="3">
        <v>2.0</v>
      </c>
      <c r="R7" s="3">
        <v>4.0</v>
      </c>
      <c r="S7" s="3">
        <v>5.0</v>
      </c>
      <c r="T7" s="3" t="s">
        <v>36</v>
      </c>
      <c r="U7" s="3" t="s">
        <v>63</v>
      </c>
      <c r="V7" s="3">
        <v>3.0</v>
      </c>
    </row>
    <row r="8" ht="22.5" customHeight="1">
      <c r="A8" s="2">
        <v>46071.888972326386</v>
      </c>
      <c r="B8" s="3" t="s">
        <v>38</v>
      </c>
      <c r="C8" s="3" t="s">
        <v>64</v>
      </c>
      <c r="D8" s="3" t="s">
        <v>65</v>
      </c>
      <c r="E8" s="3" t="s">
        <v>25</v>
      </c>
      <c r="F8" s="3" t="s">
        <v>56</v>
      </c>
      <c r="G8" s="3" t="s">
        <v>27</v>
      </c>
      <c r="H8" s="3" t="s">
        <v>66</v>
      </c>
      <c r="I8" s="3" t="s">
        <v>29</v>
      </c>
      <c r="J8" s="3" t="s">
        <v>30</v>
      </c>
      <c r="K8" s="3" t="s">
        <v>61</v>
      </c>
      <c r="L8" s="3" t="s">
        <v>67</v>
      </c>
      <c r="M8" s="3" t="s">
        <v>50</v>
      </c>
      <c r="N8" s="3" t="s">
        <v>34</v>
      </c>
      <c r="O8" s="3" t="s">
        <v>52</v>
      </c>
      <c r="P8" s="3">
        <v>4.0</v>
      </c>
      <c r="Q8" s="3">
        <v>3.0</v>
      </c>
      <c r="R8" s="3">
        <v>5.0</v>
      </c>
      <c r="S8" s="3">
        <v>2.0</v>
      </c>
      <c r="T8" s="3" t="s">
        <v>68</v>
      </c>
      <c r="U8" s="3" t="s">
        <v>63</v>
      </c>
      <c r="V8" s="3">
        <v>3.0</v>
      </c>
    </row>
    <row r="9" ht="22.5" customHeight="1">
      <c r="A9" s="2">
        <v>46071.90439122685</v>
      </c>
      <c r="B9" s="3" t="s">
        <v>38</v>
      </c>
      <c r="C9" s="3" t="s">
        <v>69</v>
      </c>
      <c r="D9" s="3" t="s">
        <v>24</v>
      </c>
      <c r="E9" s="3" t="s">
        <v>25</v>
      </c>
      <c r="F9" s="3" t="s">
        <v>56</v>
      </c>
      <c r="G9" s="3" t="s">
        <v>40</v>
      </c>
      <c r="H9" s="3" t="s">
        <v>70</v>
      </c>
      <c r="I9" s="3" t="s">
        <v>29</v>
      </c>
      <c r="J9" s="3" t="s">
        <v>30</v>
      </c>
      <c r="K9" s="3" t="s">
        <v>48</v>
      </c>
      <c r="L9" s="3" t="s">
        <v>49</v>
      </c>
      <c r="M9" s="3" t="s">
        <v>50</v>
      </c>
      <c r="N9" s="3" t="s">
        <v>71</v>
      </c>
      <c r="O9" s="3" t="s">
        <v>72</v>
      </c>
      <c r="P9" s="3">
        <v>3.0</v>
      </c>
      <c r="Q9" s="3">
        <v>2.0</v>
      </c>
      <c r="R9" s="3">
        <v>5.0</v>
      </c>
      <c r="S9" s="3">
        <v>1.0</v>
      </c>
      <c r="T9" s="3" t="s">
        <v>68</v>
      </c>
      <c r="U9" s="3" t="s">
        <v>53</v>
      </c>
      <c r="V9" s="3">
        <v>3.0</v>
      </c>
    </row>
    <row r="10" ht="22.5" customHeight="1">
      <c r="A10" s="2">
        <v>46071.90970792824</v>
      </c>
      <c r="B10" s="3" t="s">
        <v>22</v>
      </c>
      <c r="C10" s="3" t="s">
        <v>64</v>
      </c>
      <c r="D10" s="3" t="s">
        <v>55</v>
      </c>
      <c r="E10" s="3" t="s">
        <v>25</v>
      </c>
      <c r="F10" s="3" t="s">
        <v>56</v>
      </c>
      <c r="G10" s="3" t="s">
        <v>40</v>
      </c>
      <c r="H10" s="3" t="s">
        <v>41</v>
      </c>
      <c r="I10" s="3" t="s">
        <v>29</v>
      </c>
      <c r="J10" s="3" t="s">
        <v>73</v>
      </c>
      <c r="K10" s="3" t="s">
        <v>48</v>
      </c>
      <c r="L10" s="3" t="s">
        <v>49</v>
      </c>
      <c r="M10" s="3" t="s">
        <v>48</v>
      </c>
      <c r="N10" s="3" t="s">
        <v>62</v>
      </c>
      <c r="O10" s="3" t="s">
        <v>52</v>
      </c>
      <c r="P10" s="3">
        <v>1.0</v>
      </c>
      <c r="Q10" s="3">
        <v>1.0</v>
      </c>
      <c r="R10" s="3">
        <v>5.0</v>
      </c>
      <c r="S10" s="3">
        <v>1.0</v>
      </c>
      <c r="T10" s="3" t="s">
        <v>36</v>
      </c>
      <c r="U10" s="3" t="s">
        <v>37</v>
      </c>
      <c r="V10" s="3">
        <v>3.0</v>
      </c>
    </row>
    <row r="11" ht="22.5" customHeight="1">
      <c r="A11" s="2">
        <v>46071.91028827547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40</v>
      </c>
      <c r="H11" s="3" t="s">
        <v>74</v>
      </c>
      <c r="I11" s="3" t="s">
        <v>29</v>
      </c>
      <c r="J11" s="3" t="s">
        <v>30</v>
      </c>
      <c r="K11" s="3" t="s">
        <v>61</v>
      </c>
      <c r="L11" s="3" t="s">
        <v>75</v>
      </c>
      <c r="M11" s="3" t="s">
        <v>33</v>
      </c>
      <c r="N11" s="3" t="s">
        <v>76</v>
      </c>
      <c r="O11" s="3" t="s">
        <v>35</v>
      </c>
      <c r="P11" s="3">
        <v>5.0</v>
      </c>
      <c r="Q11" s="3">
        <v>2.0</v>
      </c>
      <c r="R11" s="3">
        <v>4.0</v>
      </c>
      <c r="S11" s="3">
        <v>5.0</v>
      </c>
      <c r="T11" s="3" t="s">
        <v>36</v>
      </c>
      <c r="U11" s="3" t="s">
        <v>53</v>
      </c>
      <c r="V11" s="3">
        <v>4.0</v>
      </c>
    </row>
    <row r="12" ht="22.5" customHeight="1">
      <c r="A12" s="2">
        <v>46071.93923934028</v>
      </c>
      <c r="B12" s="3" t="s">
        <v>22</v>
      </c>
      <c r="C12" s="3" t="s">
        <v>69</v>
      </c>
      <c r="D12" s="3" t="s">
        <v>24</v>
      </c>
      <c r="E12" s="3" t="s">
        <v>25</v>
      </c>
      <c r="F12" s="3" t="s">
        <v>56</v>
      </c>
      <c r="G12" s="3" t="s">
        <v>57</v>
      </c>
      <c r="H12" s="3" t="s">
        <v>28</v>
      </c>
      <c r="I12" s="3" t="s">
        <v>77</v>
      </c>
      <c r="J12" s="3" t="s">
        <v>30</v>
      </c>
      <c r="K12" s="3" t="s">
        <v>61</v>
      </c>
      <c r="L12" s="3" t="s">
        <v>78</v>
      </c>
      <c r="M12" s="3" t="s">
        <v>50</v>
      </c>
      <c r="N12" s="3" t="s">
        <v>79</v>
      </c>
      <c r="O12" s="3" t="s">
        <v>80</v>
      </c>
      <c r="P12" s="3">
        <v>5.0</v>
      </c>
      <c r="Q12" s="3">
        <v>3.0</v>
      </c>
      <c r="R12" s="3">
        <v>3.0</v>
      </c>
      <c r="S12" s="3">
        <v>3.0</v>
      </c>
      <c r="T12" s="3" t="s">
        <v>68</v>
      </c>
      <c r="U12" s="3" t="s">
        <v>59</v>
      </c>
      <c r="V12" s="3">
        <v>3.0</v>
      </c>
    </row>
    <row r="13" ht="22.5" customHeight="1">
      <c r="A13" s="2">
        <v>46071.95175069444</v>
      </c>
      <c r="B13" s="3" t="s">
        <v>22</v>
      </c>
      <c r="C13" s="3" t="s">
        <v>23</v>
      </c>
      <c r="D13" s="3" t="s">
        <v>24</v>
      </c>
      <c r="E13" s="3" t="s">
        <v>81</v>
      </c>
      <c r="F13" s="3" t="s">
        <v>26</v>
      </c>
      <c r="G13" s="3" t="s">
        <v>57</v>
      </c>
      <c r="H13" s="3" t="s">
        <v>74</v>
      </c>
      <c r="I13" s="3" t="s">
        <v>29</v>
      </c>
      <c r="J13" s="3" t="s">
        <v>30</v>
      </c>
      <c r="K13" s="3" t="s">
        <v>61</v>
      </c>
      <c r="L13" s="3" t="s">
        <v>82</v>
      </c>
      <c r="M13" s="3" t="s">
        <v>50</v>
      </c>
      <c r="N13" s="3" t="s">
        <v>71</v>
      </c>
      <c r="O13" s="3" t="s">
        <v>52</v>
      </c>
      <c r="P13" s="3">
        <v>4.0</v>
      </c>
      <c r="Q13" s="3">
        <v>4.0</v>
      </c>
      <c r="R13" s="3">
        <v>4.0</v>
      </c>
      <c r="S13" s="3">
        <v>4.0</v>
      </c>
      <c r="T13" s="3" t="s">
        <v>83</v>
      </c>
      <c r="U13" s="3" t="s">
        <v>84</v>
      </c>
      <c r="V13" s="3">
        <v>5.0</v>
      </c>
    </row>
    <row r="14" ht="22.5" customHeight="1">
      <c r="A14" s="2">
        <v>46071.95493626157</v>
      </c>
      <c r="B14" s="3" t="s">
        <v>22</v>
      </c>
      <c r="C14" s="3" t="s">
        <v>23</v>
      </c>
      <c r="D14" s="3" t="s">
        <v>24</v>
      </c>
      <c r="E14" s="3" t="s">
        <v>85</v>
      </c>
      <c r="F14" s="3" t="s">
        <v>26</v>
      </c>
      <c r="G14" s="3" t="s">
        <v>27</v>
      </c>
      <c r="H14" s="3" t="s">
        <v>41</v>
      </c>
      <c r="I14" s="3" t="s">
        <v>29</v>
      </c>
      <c r="J14" s="3" t="s">
        <v>30</v>
      </c>
      <c r="K14" s="3" t="s">
        <v>61</v>
      </c>
      <c r="L14" s="3" t="s">
        <v>43</v>
      </c>
      <c r="M14" s="3" t="s">
        <v>50</v>
      </c>
      <c r="N14" s="3" t="s">
        <v>62</v>
      </c>
      <c r="O14" s="3" t="s">
        <v>52</v>
      </c>
      <c r="P14" s="3">
        <v>3.0</v>
      </c>
      <c r="Q14" s="3">
        <v>4.0</v>
      </c>
      <c r="R14" s="3">
        <v>4.0</v>
      </c>
      <c r="S14" s="3">
        <v>4.0</v>
      </c>
      <c r="T14" s="3" t="s">
        <v>36</v>
      </c>
      <c r="U14" s="3" t="s">
        <v>63</v>
      </c>
      <c r="V14" s="3">
        <v>3.0</v>
      </c>
    </row>
    <row r="15" ht="22.5" customHeight="1">
      <c r="A15" s="2">
        <v>46071.97726998843</v>
      </c>
      <c r="B15" s="3" t="s">
        <v>22</v>
      </c>
      <c r="C15" s="3" t="s">
        <v>23</v>
      </c>
      <c r="D15" s="3" t="s">
        <v>24</v>
      </c>
      <c r="E15" s="3" t="s">
        <v>39</v>
      </c>
      <c r="F15" s="3" t="s">
        <v>26</v>
      </c>
      <c r="G15" s="3" t="s">
        <v>40</v>
      </c>
      <c r="H15" s="3" t="s">
        <v>28</v>
      </c>
      <c r="I15" s="3" t="s">
        <v>42</v>
      </c>
      <c r="J15" s="3" t="s">
        <v>30</v>
      </c>
      <c r="K15" s="3" t="s">
        <v>31</v>
      </c>
      <c r="L15" s="3" t="s">
        <v>43</v>
      </c>
      <c r="M15" s="3" t="s">
        <v>50</v>
      </c>
      <c r="N15" s="3" t="s">
        <v>62</v>
      </c>
      <c r="O15" s="3" t="s">
        <v>35</v>
      </c>
      <c r="P15" s="3">
        <v>5.0</v>
      </c>
      <c r="Q15" s="3">
        <v>2.0</v>
      </c>
      <c r="R15" s="3">
        <v>5.0</v>
      </c>
      <c r="S15" s="3">
        <v>1.0</v>
      </c>
      <c r="T15" s="3" t="s">
        <v>36</v>
      </c>
      <c r="U15" s="3" t="s">
        <v>63</v>
      </c>
      <c r="V15" s="3">
        <v>3.0</v>
      </c>
    </row>
    <row r="16" ht="22.5" customHeight="1">
      <c r="A16" s="2">
        <v>46072.37852074074</v>
      </c>
      <c r="B16" s="3" t="s">
        <v>38</v>
      </c>
      <c r="C16" s="3" t="s">
        <v>64</v>
      </c>
      <c r="D16" s="3" t="s">
        <v>65</v>
      </c>
      <c r="E16" s="3" t="s">
        <v>86</v>
      </c>
      <c r="F16" s="3" t="s">
        <v>87</v>
      </c>
      <c r="G16" s="3" t="s">
        <v>40</v>
      </c>
      <c r="H16" s="3" t="s">
        <v>41</v>
      </c>
      <c r="I16" s="3" t="s">
        <v>42</v>
      </c>
      <c r="J16" s="3" t="s">
        <v>30</v>
      </c>
      <c r="K16" s="3" t="s">
        <v>48</v>
      </c>
      <c r="L16" s="3" t="s">
        <v>49</v>
      </c>
      <c r="M16" s="3" t="s">
        <v>50</v>
      </c>
      <c r="N16" s="3" t="s">
        <v>44</v>
      </c>
      <c r="O16" s="3" t="s">
        <v>52</v>
      </c>
      <c r="P16" s="3">
        <v>4.0</v>
      </c>
      <c r="Q16" s="3">
        <v>3.0</v>
      </c>
      <c r="R16" s="3">
        <v>5.0</v>
      </c>
      <c r="S16" s="3">
        <v>5.0</v>
      </c>
      <c r="T16" s="3" t="s">
        <v>68</v>
      </c>
      <c r="U16" s="3" t="s">
        <v>84</v>
      </c>
      <c r="V16" s="3">
        <v>3.0</v>
      </c>
    </row>
    <row r="17" ht="22.5" customHeight="1">
      <c r="A17" s="2">
        <v>46072.39047953703</v>
      </c>
      <c r="B17" s="3" t="s">
        <v>22</v>
      </c>
      <c r="C17" s="3" t="s">
        <v>64</v>
      </c>
      <c r="D17" s="3" t="s">
        <v>24</v>
      </c>
      <c r="E17" s="3" t="s">
        <v>25</v>
      </c>
      <c r="F17" s="3" t="s">
        <v>87</v>
      </c>
      <c r="G17" s="3" t="s">
        <v>40</v>
      </c>
      <c r="H17" s="3" t="s">
        <v>41</v>
      </c>
      <c r="I17" s="3" t="s">
        <v>42</v>
      </c>
      <c r="J17" s="3" t="s">
        <v>30</v>
      </c>
      <c r="K17" s="3" t="s">
        <v>48</v>
      </c>
      <c r="L17" s="3" t="s">
        <v>32</v>
      </c>
      <c r="M17" s="3" t="s">
        <v>33</v>
      </c>
      <c r="N17" s="3" t="s">
        <v>62</v>
      </c>
      <c r="O17" s="3" t="s">
        <v>35</v>
      </c>
      <c r="P17" s="3">
        <v>5.0</v>
      </c>
      <c r="Q17" s="3">
        <v>3.0</v>
      </c>
      <c r="R17" s="3">
        <v>5.0</v>
      </c>
      <c r="S17" s="3">
        <v>3.0</v>
      </c>
      <c r="T17" s="3" t="s">
        <v>36</v>
      </c>
      <c r="U17" s="3" t="s">
        <v>37</v>
      </c>
      <c r="V17" s="3">
        <v>1.0</v>
      </c>
    </row>
    <row r="18" ht="22.5" customHeight="1">
      <c r="A18" s="2">
        <v>46072.394629560185</v>
      </c>
      <c r="B18" s="3" t="s">
        <v>38</v>
      </c>
      <c r="C18" s="3" t="s">
        <v>69</v>
      </c>
      <c r="D18" s="3" t="s">
        <v>88</v>
      </c>
      <c r="E18" s="3" t="s">
        <v>25</v>
      </c>
      <c r="F18" s="3" t="s">
        <v>89</v>
      </c>
      <c r="G18" s="3" t="s">
        <v>27</v>
      </c>
      <c r="H18" s="3" t="s">
        <v>90</v>
      </c>
      <c r="I18" s="3" t="s">
        <v>29</v>
      </c>
      <c r="J18" s="3" t="s">
        <v>73</v>
      </c>
      <c r="K18" s="3" t="s">
        <v>48</v>
      </c>
      <c r="L18" s="3" t="s">
        <v>49</v>
      </c>
      <c r="M18" s="3" t="s">
        <v>50</v>
      </c>
      <c r="N18" s="3" t="s">
        <v>62</v>
      </c>
      <c r="O18" s="3" t="s">
        <v>52</v>
      </c>
      <c r="P18" s="3">
        <v>5.0</v>
      </c>
      <c r="Q18" s="3">
        <v>5.0</v>
      </c>
      <c r="R18" s="3">
        <v>5.0</v>
      </c>
      <c r="S18" s="3">
        <v>5.0</v>
      </c>
      <c r="T18" s="3" t="s">
        <v>36</v>
      </c>
      <c r="U18" s="3" t="s">
        <v>63</v>
      </c>
      <c r="V18" s="3">
        <v>5.0</v>
      </c>
    </row>
    <row r="19" ht="22.5" customHeight="1">
      <c r="A19" s="2">
        <v>46072.410189155096</v>
      </c>
      <c r="B19" s="3" t="s">
        <v>38</v>
      </c>
      <c r="C19" s="3" t="s">
        <v>64</v>
      </c>
      <c r="D19" s="3" t="s">
        <v>24</v>
      </c>
      <c r="E19" s="3" t="s">
        <v>25</v>
      </c>
      <c r="F19" s="3" t="s">
        <v>56</v>
      </c>
      <c r="G19" s="3" t="s">
        <v>40</v>
      </c>
      <c r="H19" s="3" t="s">
        <v>41</v>
      </c>
      <c r="I19" s="3" t="s">
        <v>29</v>
      </c>
      <c r="J19" s="3" t="s">
        <v>30</v>
      </c>
      <c r="K19" s="3" t="s">
        <v>48</v>
      </c>
      <c r="L19" s="3" t="s">
        <v>91</v>
      </c>
      <c r="M19" s="3" t="s">
        <v>50</v>
      </c>
      <c r="N19" s="3" t="s">
        <v>76</v>
      </c>
      <c r="O19" s="3" t="s">
        <v>80</v>
      </c>
      <c r="P19" s="3">
        <v>5.0</v>
      </c>
      <c r="Q19" s="3">
        <v>5.0</v>
      </c>
      <c r="R19" s="3">
        <v>3.0</v>
      </c>
      <c r="S19" s="3">
        <v>5.0</v>
      </c>
      <c r="T19" s="3" t="s">
        <v>36</v>
      </c>
      <c r="U19" s="3" t="s">
        <v>63</v>
      </c>
      <c r="V19" s="3">
        <v>4.0</v>
      </c>
    </row>
    <row r="20" ht="22.5" customHeight="1">
      <c r="A20" s="2">
        <v>46072.688716944445</v>
      </c>
      <c r="B20" s="3" t="s">
        <v>38</v>
      </c>
      <c r="C20" s="3" t="s">
        <v>23</v>
      </c>
      <c r="D20" s="3" t="s">
        <v>24</v>
      </c>
      <c r="E20" s="3" t="s">
        <v>60</v>
      </c>
      <c r="F20" s="3" t="s">
        <v>26</v>
      </c>
      <c r="G20" s="3" t="s">
        <v>57</v>
      </c>
      <c r="H20" s="3" t="s">
        <v>74</v>
      </c>
      <c r="I20" s="3" t="s">
        <v>29</v>
      </c>
      <c r="J20" s="3" t="s">
        <v>92</v>
      </c>
      <c r="K20" s="3" t="s">
        <v>93</v>
      </c>
      <c r="L20" s="3" t="s">
        <v>94</v>
      </c>
      <c r="M20" s="3" t="s">
        <v>95</v>
      </c>
      <c r="N20" s="3" t="s">
        <v>34</v>
      </c>
      <c r="O20" s="3" t="s">
        <v>96</v>
      </c>
      <c r="P20" s="3">
        <v>4.0</v>
      </c>
      <c r="Q20" s="3">
        <v>4.0</v>
      </c>
      <c r="R20" s="3">
        <v>5.0</v>
      </c>
      <c r="S20" s="3">
        <v>5.0</v>
      </c>
      <c r="T20" s="3" t="s">
        <v>36</v>
      </c>
      <c r="U20" s="3" t="s">
        <v>84</v>
      </c>
      <c r="V20" s="3">
        <v>2.0</v>
      </c>
    </row>
    <row r="21" ht="22.5" customHeight="1">
      <c r="A21" s="2">
        <v>46073.37058530093</v>
      </c>
      <c r="B21" s="3" t="s">
        <v>22</v>
      </c>
      <c r="C21" s="3" t="s">
        <v>64</v>
      </c>
      <c r="D21" s="3" t="s">
        <v>88</v>
      </c>
      <c r="E21" s="3" t="s">
        <v>25</v>
      </c>
      <c r="F21" s="3" t="s">
        <v>87</v>
      </c>
      <c r="G21" s="3" t="s">
        <v>40</v>
      </c>
      <c r="H21" s="3" t="s">
        <v>28</v>
      </c>
      <c r="I21" s="3" t="s">
        <v>29</v>
      </c>
      <c r="J21" s="3" t="s">
        <v>30</v>
      </c>
      <c r="K21" s="3" t="s">
        <v>48</v>
      </c>
      <c r="L21" s="3" t="s">
        <v>49</v>
      </c>
      <c r="M21" s="3" t="s">
        <v>50</v>
      </c>
      <c r="N21" s="3" t="s">
        <v>62</v>
      </c>
      <c r="O21" s="3" t="s">
        <v>52</v>
      </c>
      <c r="P21" s="3">
        <v>3.0</v>
      </c>
      <c r="Q21" s="3">
        <v>2.0</v>
      </c>
      <c r="R21" s="3">
        <v>5.0</v>
      </c>
      <c r="S21" s="3">
        <v>5.0</v>
      </c>
      <c r="T21" s="3" t="s">
        <v>36</v>
      </c>
      <c r="U21" s="3" t="s">
        <v>59</v>
      </c>
      <c r="V21" s="3">
        <v>3.0</v>
      </c>
    </row>
    <row r="22" ht="22.5" customHeight="1">
      <c r="A22" s="2">
        <v>46073.43778112269</v>
      </c>
      <c r="B22" s="3" t="s">
        <v>38</v>
      </c>
      <c r="C22" s="3" t="s">
        <v>97</v>
      </c>
      <c r="D22" s="3" t="s">
        <v>98</v>
      </c>
      <c r="E22" s="3" t="s">
        <v>25</v>
      </c>
      <c r="F22" s="3" t="s">
        <v>26</v>
      </c>
      <c r="G22" s="3" t="s">
        <v>46</v>
      </c>
      <c r="H22" s="3" t="s">
        <v>28</v>
      </c>
      <c r="I22" s="3" t="s">
        <v>29</v>
      </c>
      <c r="J22" s="3" t="s">
        <v>73</v>
      </c>
      <c r="K22" s="3" t="s">
        <v>48</v>
      </c>
      <c r="L22" s="3" t="s">
        <v>49</v>
      </c>
      <c r="M22" s="3" t="s">
        <v>48</v>
      </c>
      <c r="N22" s="3" t="s">
        <v>99</v>
      </c>
      <c r="O22" s="3" t="s">
        <v>52</v>
      </c>
      <c r="P22" s="3">
        <v>4.0</v>
      </c>
      <c r="Q22" s="3">
        <v>1.0</v>
      </c>
      <c r="R22" s="3">
        <v>5.0</v>
      </c>
      <c r="S22" s="3">
        <v>4.0</v>
      </c>
      <c r="T22" s="3" t="s">
        <v>36</v>
      </c>
      <c r="U22" s="3" t="s">
        <v>84</v>
      </c>
      <c r="V22" s="3">
        <v>3.0</v>
      </c>
    </row>
    <row r="23" ht="22.5" customHeight="1">
      <c r="A23" s="2">
        <v>46073.78186827546</v>
      </c>
      <c r="B23" s="3" t="s">
        <v>38</v>
      </c>
      <c r="C23" s="3" t="s">
        <v>23</v>
      </c>
      <c r="D23" s="3" t="s">
        <v>24</v>
      </c>
      <c r="E23" s="3" t="s">
        <v>60</v>
      </c>
      <c r="F23" s="3" t="s">
        <v>26</v>
      </c>
      <c r="G23" s="3" t="s">
        <v>40</v>
      </c>
      <c r="H23" s="3" t="s">
        <v>74</v>
      </c>
      <c r="I23" s="3" t="s">
        <v>29</v>
      </c>
      <c r="J23" s="3" t="s">
        <v>30</v>
      </c>
      <c r="K23" s="3" t="s">
        <v>31</v>
      </c>
      <c r="L23" s="3" t="s">
        <v>100</v>
      </c>
      <c r="M23" s="3" t="s">
        <v>95</v>
      </c>
      <c r="N23" s="3" t="s">
        <v>34</v>
      </c>
      <c r="O23" s="3" t="s">
        <v>72</v>
      </c>
      <c r="P23" s="3">
        <v>4.0</v>
      </c>
      <c r="Q23" s="3">
        <v>3.0</v>
      </c>
      <c r="R23" s="3">
        <v>3.0</v>
      </c>
      <c r="S23" s="3">
        <v>4.0</v>
      </c>
      <c r="T23" s="3" t="s">
        <v>36</v>
      </c>
      <c r="U23" s="3" t="s">
        <v>84</v>
      </c>
      <c r="V23" s="3">
        <v>3.0</v>
      </c>
    </row>
    <row r="24" ht="22.5" customHeight="1">
      <c r="A24" s="2">
        <v>46074.438986030094</v>
      </c>
      <c r="B24" s="3" t="s">
        <v>38</v>
      </c>
      <c r="C24" s="3" t="s">
        <v>23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58</v>
      </c>
      <c r="I24" s="3" t="s">
        <v>29</v>
      </c>
      <c r="J24" s="3" t="s">
        <v>30</v>
      </c>
      <c r="K24" s="3" t="s">
        <v>48</v>
      </c>
      <c r="L24" s="3" t="s">
        <v>49</v>
      </c>
      <c r="M24" s="3" t="s">
        <v>50</v>
      </c>
      <c r="N24" s="3" t="s">
        <v>62</v>
      </c>
      <c r="O24" s="3" t="s">
        <v>52</v>
      </c>
      <c r="P24" s="3">
        <v>3.0</v>
      </c>
      <c r="Q24" s="3">
        <v>2.0</v>
      </c>
      <c r="R24" s="3">
        <v>5.0</v>
      </c>
      <c r="S24" s="3">
        <v>5.0</v>
      </c>
      <c r="T24" s="3" t="s">
        <v>68</v>
      </c>
      <c r="U24" s="3" t="s">
        <v>59</v>
      </c>
      <c r="V24" s="3">
        <v>3.0</v>
      </c>
    </row>
    <row r="25" ht="2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f>average(Form_Responses[Aké dôležité je pre vás poznať kvalitu signálu pri výbere bývania?  ])</f>
        <v>4.086956522</v>
      </c>
      <c r="Q25" s="4">
        <f>AVERAGE(Form_Responses[Aké dôležité je pre vás poznať kvalitu signálu na trase pred vycestovaním?  ])</f>
        <v>2.956521739</v>
      </c>
      <c r="R25" s="4">
        <f>AVERAGE(Form_Responses[Preferovali by ste viac grafy a štatistiky alebo vizualizačnú mapu pri prezeraní pokrytia? ])</f>
        <v>4.52173913</v>
      </c>
      <c r="S25" s="4">
        <f>AVERAGE(Form_Responses[Preferovali by ste dáta z meraní regulačného úradu SR alebo z meraní iných používateľov pri prezeraní pokrytia?
(od úradu - menšie množstvo dát, namerané oficiálnou metodikou a špeciálnou technikou, od používateľov - väčšie množstvo dát v rôznych lokáciach, aj oficiálna aj neoficiálna metodika merania)    ])</f>
        <v>3.608695652</v>
      </c>
      <c r="T25" s="3"/>
      <c r="U25" s="4"/>
      <c r="V25" s="4">
        <f>AVERAGE(Form_Responses[Ako veľmi by podľa vás bola užitočná funkcionalita kresliacich/meracích nástrojov na vizualizačnej mape?])</f>
        <v>3.347826087</v>
      </c>
    </row>
    <row r="27">
      <c r="J27" s="5" t="s">
        <v>101</v>
      </c>
      <c r="K27" s="6" t="s">
        <v>102</v>
      </c>
      <c r="O27" s="7" t="s">
        <v>101</v>
      </c>
      <c r="P27" s="8" t="s">
        <v>103</v>
      </c>
      <c r="Q27" s="9" t="s">
        <v>104</v>
      </c>
      <c r="R27" s="10">
        <v>46146.0</v>
      </c>
      <c r="S27" s="9" t="s">
        <v>105</v>
      </c>
      <c r="T27" s="11"/>
      <c r="U27" s="11"/>
      <c r="V27" s="12">
        <v>46145.0</v>
      </c>
    </row>
    <row r="28">
      <c r="J28" s="13" t="s">
        <v>106</v>
      </c>
      <c r="K28" s="14" t="s">
        <v>107</v>
      </c>
      <c r="O28" s="15" t="s">
        <v>106</v>
      </c>
      <c r="P28" s="16" t="s">
        <v>108</v>
      </c>
      <c r="Q28" s="17">
        <v>3.0</v>
      </c>
      <c r="R28" s="17" t="s">
        <v>109</v>
      </c>
      <c r="S28" s="17" t="s">
        <v>110</v>
      </c>
      <c r="T28" s="18"/>
      <c r="U28" s="18"/>
      <c r="V28" s="19" t="s">
        <v>111</v>
      </c>
    </row>
    <row r="29">
      <c r="J29" s="20"/>
      <c r="K29" s="21"/>
      <c r="O29" s="22"/>
      <c r="P29" s="22"/>
      <c r="Q29" s="22"/>
      <c r="R29" s="22"/>
      <c r="S29" s="22"/>
      <c r="T29" s="22"/>
      <c r="U29" s="22"/>
      <c r="V29" s="22"/>
    </row>
    <row r="30">
      <c r="J30" s="5" t="s">
        <v>112</v>
      </c>
      <c r="K30" s="23" t="s">
        <v>113</v>
      </c>
      <c r="O30" s="7" t="s">
        <v>112</v>
      </c>
      <c r="P30" s="8">
        <v>4.0</v>
      </c>
      <c r="Q30" s="9" t="s">
        <v>114</v>
      </c>
      <c r="R30" s="10">
        <v>46177.0</v>
      </c>
      <c r="S30" s="10">
        <v>46176.0</v>
      </c>
      <c r="T30" s="9" t="s">
        <v>115</v>
      </c>
      <c r="U30" s="9" t="s">
        <v>116</v>
      </c>
      <c r="V30" s="24" t="s">
        <v>117</v>
      </c>
    </row>
    <row r="31">
      <c r="J31" s="13" t="s">
        <v>118</v>
      </c>
      <c r="K31" s="25">
        <v>46144.0</v>
      </c>
      <c r="O31" s="15" t="s">
        <v>118</v>
      </c>
      <c r="P31" s="16" t="s">
        <v>119</v>
      </c>
      <c r="Q31" s="17" t="s">
        <v>120</v>
      </c>
      <c r="R31" s="17" t="s">
        <v>121</v>
      </c>
      <c r="S31" s="17" t="s">
        <v>122</v>
      </c>
      <c r="T31" s="17" t="s">
        <v>123</v>
      </c>
      <c r="U31" s="17" t="s">
        <v>124</v>
      </c>
      <c r="V31" s="26">
        <v>46145.0</v>
      </c>
    </row>
    <row r="32">
      <c r="J32" s="27"/>
      <c r="K32" s="21"/>
      <c r="O32" s="28"/>
      <c r="P32" s="22"/>
      <c r="Q32" s="22"/>
      <c r="R32" s="22"/>
      <c r="S32" s="22"/>
      <c r="T32" s="22"/>
      <c r="U32" s="22"/>
      <c r="V32" s="22"/>
    </row>
    <row r="33">
      <c r="J33" s="5" t="s">
        <v>125</v>
      </c>
      <c r="K33" s="23" t="s">
        <v>126</v>
      </c>
      <c r="O33" s="7" t="s">
        <v>125</v>
      </c>
      <c r="P33" s="8" t="s">
        <v>127</v>
      </c>
      <c r="Q33" s="9" t="s">
        <v>128</v>
      </c>
      <c r="R33" s="9" t="s">
        <v>129</v>
      </c>
      <c r="S33" s="9" t="s">
        <v>130</v>
      </c>
      <c r="T33" s="11"/>
      <c r="U33" s="11"/>
      <c r="V33" s="24" t="s">
        <v>131</v>
      </c>
    </row>
    <row r="34">
      <c r="J34" s="13" t="s">
        <v>132</v>
      </c>
      <c r="K34" s="14" t="s">
        <v>107</v>
      </c>
      <c r="O34" s="15" t="s">
        <v>132</v>
      </c>
      <c r="P34" s="16" t="s">
        <v>133</v>
      </c>
      <c r="Q34" s="17" t="s">
        <v>134</v>
      </c>
      <c r="R34" s="29">
        <v>46146.0</v>
      </c>
      <c r="S34" s="29">
        <v>46329.0</v>
      </c>
      <c r="T34" s="18"/>
      <c r="U34" s="18"/>
      <c r="V34" s="19" t="s">
        <v>135</v>
      </c>
    </row>
    <row r="35">
      <c r="J35" s="20"/>
      <c r="K35" s="21"/>
      <c r="O35" s="22"/>
      <c r="P35" s="22"/>
      <c r="Q35" s="22"/>
      <c r="R35" s="22"/>
      <c r="S35" s="22"/>
      <c r="T35" s="22"/>
      <c r="U35" s="22"/>
      <c r="V35" s="22"/>
    </row>
    <row r="36">
      <c r="J36" s="5" t="s">
        <v>136</v>
      </c>
      <c r="K36" s="30">
        <v>46143.0</v>
      </c>
      <c r="O36" s="7" t="s">
        <v>136</v>
      </c>
      <c r="P36" s="8" t="s">
        <v>137</v>
      </c>
      <c r="Q36" s="9">
        <v>3.0</v>
      </c>
      <c r="R36" s="9" t="s">
        <v>138</v>
      </c>
      <c r="S36" s="9">
        <v>4.0</v>
      </c>
      <c r="T36" s="11"/>
      <c r="U36" s="9" t="s">
        <v>139</v>
      </c>
      <c r="V36" s="12">
        <v>46145.0</v>
      </c>
    </row>
    <row r="37">
      <c r="J37" s="13" t="s">
        <v>140</v>
      </c>
      <c r="K37" s="25">
        <v>46235.0</v>
      </c>
      <c r="O37" s="15" t="s">
        <v>140</v>
      </c>
      <c r="P37" s="31">
        <v>46057.0</v>
      </c>
      <c r="Q37" s="17" t="s">
        <v>141</v>
      </c>
      <c r="R37" s="29">
        <v>46116.0</v>
      </c>
      <c r="S37" s="29">
        <v>46115.0</v>
      </c>
      <c r="T37" s="18"/>
      <c r="U37" s="17" t="s">
        <v>142</v>
      </c>
      <c r="V37" s="19" t="s">
        <v>117</v>
      </c>
    </row>
  </sheetData>
  <drawing r:id="rId1"/>
  <tableParts count="1">
    <tablePart r:id="rId3"/>
  </tableParts>
</worksheet>
</file>